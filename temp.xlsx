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01报价单" sheetId="1" r:id="rId1"/>
    <sheet name="02达人KPI明细" sheetId="3" r:id="rId2"/>
    <sheet name="03达人量级分级规则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Chen, Marienne M</author>
    <author>44405</author>
  </authors>
  <commentList>
    <comment ref="C1" authorId="0">
      <text>
        <r>
          <rPr>
            <b/>
            <sz val="9"/>
            <rFont val="Tahoma"/>
            <charset val="134"/>
          </rPr>
          <t>Chen, Marienne M:</t>
        </r>
        <r>
          <rPr>
            <sz val="9"/>
            <rFont val="Tahoma"/>
            <charset val="134"/>
          </rPr>
          <t xml:space="preserve">
由亿滋KOL管理系统提供</t>
        </r>
      </text>
    </comment>
    <comment ref="D1" authorId="1">
      <text>
        <r>
          <rPr>
            <b/>
            <sz val="9"/>
            <rFont val="宋体"/>
            <charset val="134"/>
          </rPr>
          <t>平台：
抖音
小红书
快手
B站
互选公众号
互选视频号</t>
        </r>
      </text>
    </comment>
    <comment ref="L1" authorId="1">
      <text>
        <r>
          <rPr>
            <b/>
            <sz val="9"/>
            <rFont val="宋体"/>
            <charset val="134"/>
          </rPr>
          <t>归品牌
归达人</t>
        </r>
      </text>
    </comment>
    <comment ref="N1" authorId="1">
      <text>
        <r>
          <rPr>
            <b/>
            <sz val="9"/>
            <rFont val="宋体"/>
            <charset val="134"/>
          </rPr>
          <t>yyyy-mm-dd</t>
        </r>
      </text>
    </comment>
    <comment ref="O1" authorId="1">
      <text>
        <r>
          <rPr>
            <b/>
            <sz val="9"/>
            <rFont val="宋体"/>
            <charset val="134"/>
          </rPr>
          <t>是
否</t>
        </r>
      </text>
    </comment>
    <comment ref="P1" authorId="1">
      <text>
        <r>
          <rPr>
            <sz val="9"/>
            <rFont val="宋体"/>
            <charset val="134"/>
          </rPr>
          <t>抖音：21-60s、60s以上
小红书：报备视频、报备图文
快手：21-60s、60s以上
B站：植入视频、定制视频
公众号：原创头条、原创次条、供稿头条、供稿次条
视频号：21-60s、60s以上</t>
        </r>
      </text>
    </comment>
    <comment ref="Y1" authorId="1">
      <text>
        <r>
          <rPr>
            <b/>
            <sz val="9"/>
            <rFont val="宋体"/>
            <charset val="134"/>
          </rPr>
          <t>是
否</t>
        </r>
      </text>
    </comment>
    <comment ref="Z1" authorId="1">
      <text>
        <r>
          <rPr>
            <b/>
            <sz val="9"/>
            <rFont val="宋体"/>
            <charset val="134"/>
          </rPr>
          <t>是
否</t>
        </r>
      </text>
    </comment>
    <comment ref="AA1" authorId="1">
      <text>
        <r>
          <rPr>
            <b/>
            <sz val="9"/>
            <rFont val="宋体"/>
            <charset val="134"/>
          </rPr>
          <t>是
否</t>
        </r>
      </text>
    </comment>
    <comment ref="AB1" authorId="1">
      <text>
        <r>
          <rPr>
            <b/>
            <sz val="9"/>
            <rFont val="宋体"/>
            <charset val="134"/>
          </rPr>
          <t>是
否</t>
        </r>
      </text>
    </comment>
    <comment ref="AC1" authorId="1">
      <text>
        <r>
          <rPr>
            <b/>
            <sz val="9"/>
            <rFont val="宋体"/>
            <charset val="134"/>
          </rPr>
          <t>是
否</t>
        </r>
      </text>
    </comment>
    <comment ref="AF1" authorId="0">
      <text>
        <r>
          <rPr>
            <b/>
            <sz val="9"/>
            <rFont val="Tahoma"/>
            <charset val="134"/>
          </rPr>
          <t>Chen, Marienne M:</t>
        </r>
        <r>
          <rPr>
            <sz val="9"/>
            <rFont val="Tahoma"/>
            <charset val="134"/>
          </rPr>
          <t xml:space="preserve">
备注项：仅能填写达人的特殊合作价格作补充说明，明星艺人合作请单独走报价和审批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<sst xmlns="http://schemas.openxmlformats.org/spreadsheetml/2006/main" count="229" uniqueCount="148">
  <si>
    <t>品牌</t>
  </si>
  <si>
    <t>Campaign Phase</t>
  </si>
  <si>
    <t>风险类型</t>
  </si>
  <si>
    <t>平台</t>
  </si>
  <si>
    <t>达人类型</t>
  </si>
  <si>
    <t>达人昵称</t>
  </si>
  <si>
    <t>达人ID</t>
  </si>
  <si>
    <t>主页链接</t>
  </si>
  <si>
    <t>量级</t>
  </si>
  <si>
    <t>粉丝数（w）</t>
  </si>
  <si>
    <t>达人所在地区</t>
  </si>
  <si>
    <t>寄样费用承担方</t>
  </si>
  <si>
    <t>可带蓝词内容</t>
  </si>
  <si>
    <t>预期发布日期</t>
  </si>
  <si>
    <t>是否涉及线下活动</t>
  </si>
  <si>
    <t>合作内容形式</t>
  </si>
  <si>
    <t>平台价格（含税）</t>
  </si>
  <si>
    <t>平台服务费（%）</t>
  </si>
  <si>
    <t>采买折扣（%）</t>
  </si>
  <si>
    <t>代理服务费（%）</t>
  </si>
  <si>
    <t>采买总净价</t>
  </si>
  <si>
    <t>代理服务费净价</t>
  </si>
  <si>
    <t>最终下单价格</t>
  </si>
  <si>
    <t>达人本人是否出镜</t>
  </si>
  <si>
    <t>是否可免费带品牌话题词or@品牌</t>
  </si>
  <si>
    <t>是否接受推流</t>
  </si>
  <si>
    <t>能否给到全部脚本</t>
  </si>
  <si>
    <t>是否可授权给品牌（媒体+电商）3个月</t>
  </si>
  <si>
    <t>链接保留期限</t>
  </si>
  <si>
    <t>输入保留期限（D）</t>
  </si>
  <si>
    <t>备注</t>
  </si>
  <si>
    <t>不可修改</t>
  </si>
  <si>
    <t>不可修改；
需和目前批次里存在的达人主页链接一致</t>
  </si>
  <si>
    <t>必选项
选择枚举值:归品牌/归达人</t>
  </si>
  <si>
    <t>选填项</t>
  </si>
  <si>
    <t>必填项
填写格式（年年年年/月/日）：xxxx/xx/xx</t>
  </si>
  <si>
    <t>必选项
选择枚举值
是/否</t>
  </si>
  <si>
    <t>必选项
【系统自动导出选号结果，可以根据实际情况修改】
枚举值：
1-20s视频/21-60s视频/60s以上视频/视频/图文/植入视频/定制视频/供稿直发/供稿转发/原创视频/原创图文</t>
  </si>
  <si>
    <t>必填项
不能为负数</t>
  </si>
  <si>
    <t>选填项
填写数字，无标点无空格</t>
  </si>
  <si>
    <t>选填项
填写格式（年年年年/月/日）：xxxx/xx/xx</t>
  </si>
  <si>
    <t>≮campaign.brand.name≯</t>
  </si>
  <si>
    <t>≮round.name≯</t>
  </si>
  <si>
    <t>≮list[].risk.light≯</t>
  </si>
  <si>
    <t>≮list[].platform≯</t>
  </si>
  <si>
    <t>≮list[].contentType≯</t>
  </si>
  <si>
    <t>≮list[].kolName≯</t>
  </si>
  <si>
    <t>≮list[].userId≯</t>
  </si>
  <si>
    <t>≮list[].url≯</t>
  </si>
  <si>
    <t>≮list[].info.kolTier≯</t>
  </si>
  <si>
    <t>≮list[].info.followersOfThenThousands≯</t>
  </si>
  <si>
    <t>≮list[].info.province≯ ≮list[].info.city≯</t>
  </si>
  <si>
    <t>≮list[].priceType≯</t>
  </si>
  <si>
    <t>≮list[].info.verifiedType≯</t>
  </si>
  <si>
    <t>属性</t>
  </si>
  <si>
    <t>媒体平台</t>
  </si>
  <si>
    <t>产品名称</t>
  </si>
  <si>
    <t>形式</t>
  </si>
  <si>
    <t>抖音一口价任务类型</t>
  </si>
  <si>
    <t>具体任务</t>
  </si>
  <si>
    <t>Service Type</t>
  </si>
  <si>
    <t>Platform</t>
  </si>
  <si>
    <t>Product</t>
  </si>
  <si>
    <t>Content Format</t>
  </si>
  <si>
    <t>Douyin Task</t>
  </si>
  <si>
    <t>Detail Task</t>
  </si>
  <si>
    <t>KOL/KOC合作</t>
  </si>
  <si>
    <r>
      <rPr>
        <b/>
        <sz val="10"/>
        <color rgb="FF000000"/>
        <rFont val="微软雅黑"/>
        <charset val="134"/>
      </rPr>
      <t xml:space="preserve">Douyin (TikTok) </t>
    </r>
    <r>
      <rPr>
        <sz val="10"/>
        <color rgb="FF000000"/>
        <rFont val="微软雅黑"/>
        <charset val="134"/>
      </rPr>
      <t xml:space="preserve">        抖音</t>
    </r>
  </si>
  <si>
    <t>星图</t>
  </si>
  <si>
    <t>一口价全类型 不含超头部KOL【见备注】</t>
  </si>
  <si>
    <t>招募任务</t>
  </si>
  <si>
    <t>招募任务按效果结算</t>
  </si>
  <si>
    <t>https://www.xingtu.cn/help-center/demander/126583</t>
  </si>
  <si>
    <t>（包含不限图文/视频、直播等）</t>
  </si>
  <si>
    <t>招募任务一口价</t>
  </si>
  <si>
    <r>
      <rPr>
        <sz val="10"/>
        <color rgb="FF000000"/>
        <rFont val="微软雅黑"/>
        <charset val="134"/>
      </rPr>
      <t xml:space="preserve">一口价全类型 </t>
    </r>
    <r>
      <rPr>
        <sz val="10"/>
        <color rgb="FFFF0000"/>
        <rFont val="微软雅黑"/>
        <charset val="134"/>
      </rPr>
      <t>超头部KOL【定义见备注】</t>
    </r>
    <r>
      <rPr>
        <sz val="10"/>
        <color rgb="FF000000"/>
        <rFont val="微软雅黑"/>
        <charset val="134"/>
      </rPr>
      <t>（包含不限图文/视频、直播等）</t>
    </r>
  </si>
  <si>
    <t>指派任务</t>
  </si>
  <si>
    <t>指派CPM</t>
  </si>
  <si>
    <t>https://www.xingtu.cn/help-center/demander/109121</t>
  </si>
  <si>
    <r>
      <rPr>
        <b/>
        <sz val="10"/>
        <color rgb="FF000000"/>
        <rFont val="微软雅黑"/>
        <charset val="134"/>
      </rPr>
      <t xml:space="preserve">RedNote  </t>
    </r>
    <r>
      <rPr>
        <sz val="10"/>
        <color rgb="FF000000"/>
        <rFont val="微软雅黑"/>
        <charset val="134"/>
      </rPr>
      <t xml:space="preserve">           小红书</t>
    </r>
  </si>
  <si>
    <t>蒲公英</t>
  </si>
  <si>
    <t>一口价笔记 不含超头部KOL【见备注】（包含不限图文/视频等）</t>
  </si>
  <si>
    <t>直播带货</t>
  </si>
  <si>
    <r>
      <rPr>
        <sz val="10"/>
        <color rgb="FF000000"/>
        <rFont val="微软雅黑"/>
        <charset val="134"/>
      </rPr>
      <t xml:space="preserve">一口价笔记 </t>
    </r>
    <r>
      <rPr>
        <sz val="10"/>
        <color rgb="FFFF0000"/>
        <rFont val="微软雅黑"/>
        <charset val="134"/>
      </rPr>
      <t>*超头部KOL【定义见备注】</t>
    </r>
  </si>
  <si>
    <t>等级结算</t>
  </si>
  <si>
    <t>（包含不限图文/视频等）</t>
  </si>
  <si>
    <t>投稿任务</t>
  </si>
  <si>
    <t>付费分佣</t>
  </si>
  <si>
    <t>https://www.xingtu.cn/help-center/demander/109131</t>
  </si>
  <si>
    <r>
      <rPr>
        <b/>
        <sz val="10"/>
        <color rgb="FF000000"/>
        <rFont val="微软雅黑"/>
        <charset val="134"/>
      </rPr>
      <t xml:space="preserve">Tencent   </t>
    </r>
    <r>
      <rPr>
        <sz val="10"/>
        <color rgb="FF000000"/>
        <rFont val="微软雅黑"/>
        <charset val="134"/>
      </rPr>
      <t xml:space="preserve">         腾讯</t>
    </r>
  </si>
  <si>
    <t>互选</t>
  </si>
  <si>
    <t>视频号</t>
  </si>
  <si>
    <t>自定义结算</t>
  </si>
  <si>
    <t>公众号</t>
  </si>
  <si>
    <t>播放量结算</t>
  </si>
  <si>
    <r>
      <rPr>
        <b/>
        <sz val="10"/>
        <color rgb="FF000000"/>
        <rFont val="微软雅黑"/>
        <charset val="134"/>
      </rPr>
      <t xml:space="preserve">Kuaishou    </t>
    </r>
    <r>
      <rPr>
        <sz val="10"/>
        <color rgb="FF000000"/>
        <rFont val="微软雅黑"/>
        <charset val="134"/>
      </rPr>
      <t xml:space="preserve">           快手</t>
    </r>
  </si>
  <si>
    <t>磁力聚星</t>
  </si>
  <si>
    <t>一口价全类型</t>
  </si>
  <si>
    <t>转化结算</t>
  </si>
  <si>
    <t>（包含不限短视频等）</t>
  </si>
  <si>
    <t>销量结算</t>
  </si>
  <si>
    <r>
      <rPr>
        <b/>
        <sz val="10"/>
        <color rgb="FF000000"/>
        <rFont val="微软雅黑"/>
        <charset val="134"/>
      </rPr>
      <t xml:space="preserve">Bilibili        </t>
    </r>
    <r>
      <rPr>
        <sz val="10"/>
        <color rgb="FF000000"/>
        <rFont val="微软雅黑"/>
        <charset val="134"/>
      </rPr>
      <t xml:space="preserve">        哔哩哔哩</t>
    </r>
  </si>
  <si>
    <t>花火</t>
  </si>
  <si>
    <t>个人达人一口价内容合作</t>
  </si>
  <si>
    <t>广告分成</t>
  </si>
  <si>
    <t>（包含不限定制视频/植入视频等）</t>
  </si>
  <si>
    <t>机构达人一口价内容合作</t>
  </si>
  <si>
    <t>量级标准</t>
  </si>
  <si>
    <t>粉丝区间</t>
  </si>
  <si>
    <t>抖音</t>
  </si>
  <si>
    <t>超头部</t>
  </si>
  <si>
    <t>500w+</t>
  </si>
  <si>
    <t>头部</t>
  </si>
  <si>
    <t>300w-500w</t>
  </si>
  <si>
    <t>腰部</t>
  </si>
  <si>
    <t>100w-300w</t>
  </si>
  <si>
    <t>尾部</t>
  </si>
  <si>
    <t>50w-100w</t>
  </si>
  <si>
    <t>小达人</t>
  </si>
  <si>
    <t>10w-50w</t>
  </si>
  <si>
    <t>KOC达人</t>
  </si>
  <si>
    <t>1w-10w</t>
  </si>
  <si>
    <t>快手</t>
  </si>
  <si>
    <t>100w-500w</t>
  </si>
  <si>
    <t>10w-100w</t>
  </si>
  <si>
    <t>微信公众号</t>
  </si>
  <si>
    <t>10w+</t>
  </si>
  <si>
    <t>5w-10w</t>
  </si>
  <si>
    <t>1w-5w</t>
  </si>
  <si>
    <t>微信视频号</t>
  </si>
  <si>
    <t>B站</t>
  </si>
  <si>
    <t>50w+</t>
  </si>
  <si>
    <t>1000-1w</t>
  </si>
  <si>
    <t>小红书</t>
  </si>
  <si>
    <t>100w+</t>
  </si>
  <si>
    <t>1000-10w</t>
  </si>
  <si>
    <t/>
  </si>
  <si>
    <t>≮list[0].risk.light≯</t>
  </si>
  <si>
    <t>≮list[0].platform≯</t>
  </si>
  <si>
    <t>≮list[0].contentType≯</t>
  </si>
  <si>
    <t>≮list[0].kolName≯</t>
  </si>
  <si>
    <t>≮list[0].userId≯</t>
  </si>
  <si>
    <t>≮list[0].url≯</t>
  </si>
  <si>
    <t>≮list[0].info.kolTier≯</t>
  </si>
  <si>
    <t>≮list[0].info.followersOfThenThousands≯</t>
  </si>
  <si>
    <t>≮list[0].info.province≯ ≮list[0].info.city≯</t>
  </si>
  <si>
    <t>≮list[0].priceType≯</t>
  </si>
  <si>
    <t>≮list[0].info.verifiedType≯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</si>
</sst>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C04]d\ mmm\,\ yyyy;@"/>
    <numFmt numFmtId="177" formatCode="_-* #,##0.00_-;_-* #,##0.00\-;_-* &quot;-&quot;??_-;_-@_-"/>
    <numFmt numFmtId="178" formatCode="_-* #,##0\ [$€-1]_-;\-* #,##0\ [$€-1]_-;_-* &quot;-&quot;??\ [$€-1]_-"/>
    <numFmt numFmtId="179" formatCode="_-* #,##0.00\ [$€-1]_-;\-* #,##0.00\ [$€-1]_-;_-* &quot;-&quot;??\ [$€-1]_-"/>
    <numFmt numFmtId="180" formatCode="\¥#,##0.00"/>
    <numFmt numFmtId="181" formatCode="0.00_);[Red]\(0.00\)"/>
    <numFmt numFmtId="182" formatCode="0_);[Red]\(0\)"/>
  </numFmts>
  <fonts count="4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9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theme="10"/>
      <name val="等线"/>
      <charset val="134"/>
      <scheme val="minor"/>
    </font>
    <font>
      <sz val="11"/>
      <color theme="0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新細明體"/>
      <charset val="134"/>
    </font>
    <font>
      <sz val="10"/>
      <color theme="1"/>
      <name val="等线"/>
      <charset val="134"/>
      <scheme val="minor"/>
    </font>
    <font>
      <sz val="11"/>
      <color indexed="8"/>
      <name val="Calibri"/>
      <charset val="134"/>
    </font>
    <font>
      <sz val="10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176" fontId="31" fillId="0" borderId="0"/>
    <xf numFmtId="177" fontId="32" fillId="0" borderId="0" applyFont="0" applyFill="0" applyBorder="0" applyAlignment="0" applyProtection="0"/>
    <xf numFmtId="176" fontId="32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 applyNumberFormat="0" applyFont="0" applyFill="0" applyBorder="0" applyProtection="0"/>
    <xf numFmtId="9" fontId="31" fillId="0" borderId="0" applyFont="0" applyFill="0" applyBorder="0" applyProtection="0"/>
    <xf numFmtId="176" fontId="0" fillId="0" borderId="0">
      <alignment vertical="center"/>
    </xf>
    <xf numFmtId="0" fontId="34" fillId="0" borderId="0" applyFill="0" applyProtection="0"/>
    <xf numFmtId="0" fontId="33" fillId="0" borderId="0" applyNumberFormat="0" applyFont="0" applyFill="0" applyBorder="0" applyProtection="0"/>
    <xf numFmtId="178" fontId="31" fillId="0" borderId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8" fontId="0" fillId="0" borderId="0">
      <alignment vertical="center"/>
    </xf>
    <xf numFmtId="176" fontId="31" fillId="0" borderId="0">
      <alignment vertical="center"/>
    </xf>
    <xf numFmtId="43" fontId="31" fillId="0" borderId="0" applyFont="0" applyFill="0" applyBorder="0" applyProtection="0"/>
    <xf numFmtId="43" fontId="0" fillId="0" borderId="0" applyFont="0" applyFill="0" applyBorder="0" applyProtection="0"/>
  </cellStyleXfs>
  <cellXfs count="53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7" fillId="0" borderId="2" xfId="6" applyBorder="1"/>
    <xf numFmtId="0" fontId="5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8" fillId="5" borderId="2" xfId="60" applyFont="1" applyFill="1" applyBorder="1" applyAlignment="1">
      <alignment horizontal="center" vertical="center"/>
    </xf>
    <xf numFmtId="0" fontId="1" fillId="6" borderId="1" xfId="60" applyFont="1" applyFill="1" applyBorder="1" applyAlignment="1">
      <alignment horizontal="center" vertical="center"/>
    </xf>
    <xf numFmtId="0" fontId="1" fillId="6" borderId="2" xfId="60" applyFont="1" applyFill="1" applyBorder="1" applyAlignment="1">
      <alignment horizontal="center" vertical="center"/>
    </xf>
    <xf numFmtId="0" fontId="1" fillId="6" borderId="3" xfId="60" applyFont="1" applyFill="1" applyBorder="1" applyAlignment="1">
      <alignment horizontal="center" vertical="center"/>
    </xf>
    <xf numFmtId="0" fontId="1" fillId="6" borderId="4" xfId="60" applyFont="1" applyFill="1" applyBorder="1" applyAlignment="1">
      <alignment horizontal="center" vertical="center"/>
    </xf>
    <xf numFmtId="0" fontId="1" fillId="0" borderId="3" xfId="60" applyFont="1" applyFill="1" applyBorder="1" applyAlignment="1">
      <alignment horizontal="center" vertical="center"/>
    </xf>
    <xf numFmtId="0" fontId="1" fillId="0" borderId="2" xfId="60" applyFont="1" applyFill="1" applyBorder="1" applyAlignment="1">
      <alignment horizontal="center" vertical="center"/>
    </xf>
    <xf numFmtId="0" fontId="1" fillId="0" borderId="4" xfId="60" applyFont="1" applyFill="1" applyBorder="1" applyAlignment="1">
      <alignment horizontal="center" vertical="center"/>
    </xf>
    <xf numFmtId="0" fontId="9" fillId="6" borderId="1" xfId="60" applyFont="1" applyFill="1" applyBorder="1" applyAlignment="1">
      <alignment horizontal="center" vertical="center"/>
    </xf>
    <xf numFmtId="0" fontId="9" fillId="6" borderId="3" xfId="60" applyFont="1" applyFill="1" applyBorder="1" applyAlignment="1">
      <alignment horizontal="center" vertical="center"/>
    </xf>
    <xf numFmtId="0" fontId="9" fillId="6" borderId="4" xfId="6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180" fontId="10" fillId="8" borderId="0" xfId="0" applyNumberFormat="1" applyFont="1" applyFill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7" fillId="0" borderId="2" xfId="6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81" fontId="12" fillId="0" borderId="2" xfId="0" applyNumberFormat="1" applyFont="1" applyBorder="1" applyAlignment="1">
      <alignment horizontal="center"/>
    </xf>
    <xf numFmtId="181" fontId="12" fillId="0" borderId="2" xfId="0" applyNumberFormat="1" applyFont="1" applyFill="1" applyBorder="1" applyAlignment="1">
      <alignment horizontal="center" vertical="center" wrapText="1"/>
    </xf>
    <xf numFmtId="182" fontId="12" fillId="0" borderId="2" xfId="0" applyNumberFormat="1" applyFont="1" applyBorder="1" applyAlignment="1">
      <alignment horizont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鹎%U龡&amp;H鼼_x0008__x0001__x001f_?_x0007__x0001__x0001_" xfId="49"/>
    <cellStyle name="Comma 2" xfId="50"/>
    <cellStyle name="Normal 2" xfId="51"/>
    <cellStyle name="Normal 3" xfId="52"/>
    <cellStyle name="Normal 4" xfId="53"/>
    <cellStyle name="Normal 5" xfId="54"/>
    <cellStyle name="百分比 6" xfId="55"/>
    <cellStyle name="常规 13" xfId="56"/>
    <cellStyle name="常规 2" xfId="57"/>
    <cellStyle name="常规 2 2" xfId="58"/>
    <cellStyle name="常规 2 2 2" xfId="59"/>
    <cellStyle name="常规 2 3" xfId="60"/>
    <cellStyle name="常规 2 3 2" xfId="61"/>
    <cellStyle name="常规 26" xfId="62"/>
    <cellStyle name="常规 6 2" xfId="63"/>
    <cellStyle name="千位分隔 2 10" xfId="64"/>
    <cellStyle name="千位分隔 9 3 4 4 3 2 3" xfId="65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B050"/>
      </font>
    </dxf>
    <dxf>
      <font>
        <color rgb="FFFFC000"/>
      </font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metadata.xml" Type="http://schemas.openxmlformats.org/officeDocument/2006/relationships/sheetMetadata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Relationship Id="rId3" Target="https://www.douyin.com/user/MS4wLjABAAAAcW29Wk0D1In-VxOdYAkn0BzYu_ArfwJ3pvUIDg85fIQvZIZz7tMoxTUY0bq_H381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xingtu.cn/help-center/demander/109121" TargetMode="External" Type="http://schemas.openxmlformats.org/officeDocument/2006/relationships/hyperlink"/><Relationship Id="rId2" Target="https://www.xingtu.cn/help-center/demander/126583" TargetMode="External" Type="http://schemas.openxmlformats.org/officeDocument/2006/relationships/hyperlink"/><Relationship Id="rId3" Target="https://www.xingtu.cn/help-center/demander/10913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showGridLines="0" tabSelected="1" zoomScale="99" zoomScaleNormal="99" topLeftCell="K1" workbookViewId="0">
      <selection activeCell="S3" sqref="S3"/>
    </sheetView>
  </sheetViews>
  <sheetFormatPr defaultColWidth="8.72321428571429" defaultRowHeight="15.6" outlineLevelRow="2"/>
  <cols>
    <col min="1" max="1" customWidth="true" style="37" width="19.7232142857143"/>
    <col min="2" max="2" customWidth="true" style="37" width="14.4553571428571"/>
    <col min="3" max="3" customWidth="true" style="37" width="19.4553571428571"/>
    <col min="4" max="4" customWidth="true" style="37" width="21.7232142857143"/>
    <col min="5" max="5" customWidth="true" style="37" width="14.7232142857143"/>
    <col min="6" max="6" customWidth="true" style="37" width="31.7232142857143"/>
    <col min="7" max="7" customWidth="true" style="37" width="15.7232142857143"/>
    <col min="8" max="8" customWidth="true" style="37" width="11.0"/>
    <col min="9" max="9" style="37" width="8.72321428571429"/>
    <col min="10" max="10" customWidth="true" style="37" width="15.1785714285714"/>
    <col min="11" max="11" customWidth="true" style="37" width="15.8125"/>
    <col min="12" max="12" customWidth="true" style="37" width="16.5446428571429"/>
    <col min="13" max="13" customWidth="true" style="37" width="16.2678571428571"/>
    <col min="14" max="14" customWidth="true" style="37" width="14.1785714285714"/>
    <col min="15" max="15" customWidth="true" style="37" width="18.5446428571429"/>
    <col min="16" max="17" customWidth="true" style="37" width="14.2678571428571"/>
    <col min="18" max="24" customWidth="true" style="37" width="17.7321428571429"/>
    <col min="25" max="25" customWidth="true" style="37" width="20.4553571428571"/>
    <col min="26" max="26" customWidth="true" style="37" width="33.8125"/>
    <col min="27" max="27" customWidth="true" style="37" width="15.2678571428571"/>
    <col min="28" max="28" customWidth="true" style="37" width="19.7232142857143"/>
    <col min="29" max="29" customWidth="true" style="37" width="38.7232142857143"/>
    <col min="30" max="30" customWidth="true" style="37" width="14.7232142857143"/>
    <col min="31" max="31" customWidth="true" style="37" width="19.7232142857143"/>
    <col min="32" max="16384" style="37" width="8.72321428571429"/>
  </cols>
  <sheetData>
    <row r="1" s="35" customFormat="1" ht="32" spans="1:32">
      <c r="A1" s="38" t="s">
        <v>0</v>
      </c>
      <c r="B1" s="38" t="s">
        <v>1</v>
      </c>
      <c r="C1" s="39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40" t="s">
        <v>4</v>
      </c>
      <c r="R1" s="41" t="s">
        <v>16</v>
      </c>
      <c r="S1" s="40" t="s">
        <v>17</v>
      </c>
      <c r="T1" s="40" t="s">
        <v>18</v>
      </c>
      <c r="U1" s="40" t="s">
        <v>19</v>
      </c>
      <c r="V1" s="40" t="s">
        <v>20</v>
      </c>
      <c r="W1" s="40" t="s">
        <v>21</v>
      </c>
      <c r="X1" s="40" t="s">
        <v>22</v>
      </c>
      <c r="Y1" s="38" t="s">
        <v>23</v>
      </c>
      <c r="Z1" s="38" t="s">
        <v>24</v>
      </c>
      <c r="AA1" s="38" t="s">
        <v>25</v>
      </c>
      <c r="AB1" s="38" t="s">
        <v>26</v>
      </c>
      <c r="AC1" s="38" t="s">
        <v>27</v>
      </c>
      <c r="AD1" s="38" t="s">
        <v>28</v>
      </c>
      <c r="AE1" s="38" t="s">
        <v>29</v>
      </c>
      <c r="AF1" s="38" t="s">
        <v>30</v>
      </c>
    </row>
    <row r="2" s="36" customFormat="1" ht="97" customHeight="1" spans="1:32">
      <c r="A2" s="42" t="s">
        <v>31</v>
      </c>
      <c r="B2" s="42" t="s">
        <v>31</v>
      </c>
      <c r="C2" s="42" t="s">
        <v>31</v>
      </c>
      <c r="D2" s="42" t="s">
        <v>31</v>
      </c>
      <c r="E2" s="42" t="s">
        <v>31</v>
      </c>
      <c r="F2" s="42" t="s">
        <v>31</v>
      </c>
      <c r="G2" s="42" t="s">
        <v>31</v>
      </c>
      <c r="H2" s="42" t="s">
        <v>32</v>
      </c>
      <c r="I2" s="42" t="s">
        <v>31</v>
      </c>
      <c r="J2" s="42" t="s">
        <v>31</v>
      </c>
      <c r="K2" s="42" t="s">
        <v>31</v>
      </c>
      <c r="L2" s="43" t="s">
        <v>33</v>
      </c>
      <c r="M2" s="44" t="s">
        <v>34</v>
      </c>
      <c r="N2" s="45" t="s">
        <v>35</v>
      </c>
      <c r="O2" s="43" t="s">
        <v>36</v>
      </c>
      <c r="P2" s="43" t="s">
        <v>37</v>
      </c>
      <c r="Q2" s="42" t="s">
        <v>31</v>
      </c>
      <c r="R2" s="45" t="s">
        <v>38</v>
      </c>
      <c r="S2" s="42" t="s">
        <v>31</v>
      </c>
      <c r="T2" s="42" t="s">
        <v>31</v>
      </c>
      <c r="U2" s="42" t="s">
        <v>31</v>
      </c>
      <c r="V2" s="42" t="s">
        <v>31</v>
      </c>
      <c r="W2" s="42" t="s">
        <v>31</v>
      </c>
      <c r="X2" s="42" t="s">
        <v>31</v>
      </c>
      <c r="Y2" s="43" t="s">
        <v>36</v>
      </c>
      <c r="Z2" s="43" t="s">
        <v>36</v>
      </c>
      <c r="AA2" s="43" t="s">
        <v>36</v>
      </c>
      <c r="AB2" s="43" t="s">
        <v>36</v>
      </c>
      <c r="AC2" s="43" t="s">
        <v>36</v>
      </c>
      <c r="AD2" s="44" t="s">
        <v>39</v>
      </c>
      <c r="AE2" s="44" t="s">
        <v>40</v>
      </c>
      <c r="AF2" s="44" t="s">
        <v>34</v>
      </c>
    </row>
    <row r="3" ht="16.8" customHeight="true">
      <c r="A3" t="s" s="46">
        <v>136</v>
      </c>
      <c r="B3" t="s" s="46">
        <v>136</v>
      </c>
      <c r="C3" t="s" s="46">
        <v>136</v>
      </c>
      <c r="D3" t="s" s="46">
        <v>109</v>
      </c>
      <c r="E3" t="s" s="46">
        <v>136</v>
      </c>
      <c r="F3" t="s" s="46">
        <v>136</v>
      </c>
      <c r="G3" t="s" s="46">
        <v>136</v>
      </c>
      <c r="H3" t="s" s="47">
        <v>136</v>
      </c>
      <c r="I3" t="s" s="46">
        <v>136</v>
      </c>
      <c r="J3" t="s" s="46">
        <v>136</v>
      </c>
      <c r="K3" t="s" s="46">
        <v>136</v>
      </c>
      <c r="L3" s="46"/>
      <c r="M3" s="46"/>
      <c r="N3" s="48"/>
      <c r="O3" s="46"/>
      <c r="P3" t="s" s="46">
        <v>136</v>
      </c>
      <c r="Q3" t="s" s="46">
        <v>136</v>
      </c>
      <c r="R3" s="49"/>
      <c r="S3" s="50" t="str">
        <f>_xlfn.IFS(D3="小红书","10%",AND(D3="Bilibili",Q3="个人认证"),"7%",AND(D3="Bilibili",Q3="机构认证"),"5%",TRUE,"5%")</f>
        <v>5%</v>
      </c>
      <c r="T3" s="51" t="n">
        <f>_xlfn.IFS(D3="抖音",IF(J3&gt;=500,0.88,0.82),D3="小红书",IF(J3&gt;=250,0.87,0.82),D3="公众号",0.9,D3="视频号",0.85,D3="快手",0.82,D3="Bilibili",0.87,TRUE,"")</f>
        <v>0.88</v>
      </c>
      <c r="U3" s="50" t="n">
        <f>_xlfn.IFS(D3="抖音",IF(J3&gt;=500,10000,"3%"),D3="小红书",IF(J3&gt;=250,6000,"3%"),TRUE,"3%")</f>
        <v>10000.0</v>
      </c>
      <c r="V3" s="52" t="e">
        <f>(R3*S3+R3*T3)/1.06</f>
        <v>#VALUE!</v>
      </c>
      <c r="W3" s="50" t="n">
        <f>_xlfn.IFS(D3="抖音",IF(J3&gt;=500,10000,3%*V3),D3="小红书",IF(J3&gt;=250,6000,3%*V3),TRUE,3%*V3)</f>
        <v>10000.0</v>
      </c>
      <c r="X3" s="50" t="e">
        <f>V3+W3</f>
        <v>#VALUE!</v>
      </c>
      <c r="Y3" s="46"/>
      <c r="Z3" s="46"/>
      <c r="AA3" s="46"/>
      <c r="AB3" s="46"/>
      <c r="AC3" s="46"/>
      <c r="AD3" s="46"/>
      <c r="AE3" s="48"/>
      <c r="AF3" s="46"/>
    </row>
  </sheetData>
  <conditionalFormatting sqref="F1:G1">
    <cfRule type="duplicateValues" dxfId="0" priority="7"/>
  </conditionalFormatting>
  <conditionalFormatting sqref="C3:C1048576">
    <cfRule type="containsText" dxfId="1" priority="4" operator="between" text="绿灯">
      <formula>NOT(ISERROR(SEARCH("绿灯",#REF!)))</formula>
    </cfRule>
    <cfRule type="containsText" dxfId="2" priority="5" operator="between" text="黄灯">
      <formula>NOT(ISERROR(SEARCH("黄灯",#REF!)))</formula>
    </cfRule>
    <cfRule type="containsText" dxfId="3" priority="6" operator="between" text="红灯">
      <formula>NOT(ISERROR(SEARCH("红灯",#REF!)))</formula>
    </cfRule>
  </conditionalFormatting>
  <dataValidations count="4">
    <dataValidation type="list" allowBlank="1" showInputMessage="1" showErrorMessage="1" sqref="Q1 P$1:P$1048576 Q4:Q1048576">
      <formula1>"1-20s视频,21-60s视频,60s以上视频,视频,图文,植入视频,定制视频,供稿直发,供稿转发,原创视频,原创图文"</formula1>
    </dataValidation>
    <dataValidation type="list" allowBlank="1" showInputMessage="1" showErrorMessage="1" sqref="Q3">
      <formula1>"个人认证,机构认证"</formula1>
    </dataValidation>
    <dataValidation type="list" allowBlank="1" showInputMessage="1" showErrorMessage="1" sqref="L$1:L$1048576">
      <formula1>"归品牌,归达人"</formula1>
    </dataValidation>
    <dataValidation type="list" allowBlank="1" showInputMessage="1" showErrorMessage="1" sqref="O$1:O$1048576 Y$1:AC$1048576">
      <formula1>"是,否"</formula1>
    </dataValidation>
  </dataValidations>
  <hyperlinks>
    <hyperlink ref="H3" r:id="rId3" display="≮list[].url≯"/>
  </hyperlinks>
  <pageMargins left="0.7" right="0.7" top="0.75" bottom="0.75" header="0.3" footer="0.3"/>
  <headerFooter>
    <oddFooter>&amp;C
&amp;1#&amp;"Calibri"&amp;10&amp;K000000 Mondelez International Internal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4"/>
  <sheetViews>
    <sheetView showGridLines="0" zoomScale="80" zoomScaleNormal="80" workbookViewId="0">
      <selection activeCell="C21" sqref="C21:E44"/>
    </sheetView>
  </sheetViews>
  <sheetFormatPr defaultColWidth="8.72321428571429" defaultRowHeight="15.6"/>
  <cols>
    <col min="1" max="1" style="2" width="8.72321428571429"/>
    <col min="2" max="2" customWidth="true" style="2" width="14.2678571428571"/>
    <col min="3" max="3" customWidth="true" style="2" width="22.2678571428571"/>
    <col min="4" max="4" customWidth="true" style="2" width="10.1785714285714"/>
    <col min="5" max="5" customWidth="true" style="2" width="33.4553571428571"/>
    <col min="6" max="6" style="2" width="8.72321428571429"/>
    <col min="7" max="7" customWidth="true" style="2" width="20.8125"/>
    <col min="8" max="8" customWidth="true" style="2" width="24.4553571428571"/>
    <col min="9" max="9" customWidth="true" style="2" width="54.5446428571429"/>
    <col min="10" max="16384" style="2" width="8.72321428571429"/>
  </cols>
  <sheetData>
    <row r="2" ht="16.5" customHeight="1" spans="2:9">
      <c r="B2" s="3" t="s">
        <v>54</v>
      </c>
      <c r="C2" s="3" t="s">
        <v>55</v>
      </c>
      <c r="D2" s="3" t="s">
        <v>56</v>
      </c>
      <c r="E2" s="3" t="s">
        <v>57</v>
      </c>
      <c r="G2" s="4" t="s">
        <v>58</v>
      </c>
      <c r="H2" s="5" t="s">
        <v>59</v>
      </c>
      <c r="I2" s="6"/>
    </row>
    <row r="3" ht="16" spans="2:9">
      <c r="B3" s="7" t="s">
        <v>60</v>
      </c>
      <c r="C3" s="7" t="s">
        <v>61</v>
      </c>
      <c r="D3" s="7" t="s">
        <v>62</v>
      </c>
      <c r="E3" s="7" t="s">
        <v>63</v>
      </c>
      <c r="G3" s="4" t="s">
        <v>64</v>
      </c>
      <c r="H3" s="5" t="s">
        <v>65</v>
      </c>
      <c r="I3" s="6"/>
    </row>
    <row r="4" ht="16.8" spans="2:9">
      <c r="B4" s="8" t="s">
        <v>66</v>
      </c>
      <c r="C4" s="9" t="s">
        <v>67</v>
      </c>
      <c r="D4" s="8" t="s">
        <v>68</v>
      </c>
      <c r="E4" s="10" t="s">
        <v>69</v>
      </c>
      <c r="G4" s="11" t="s">
        <v>70</v>
      </c>
      <c r="H4" s="6" t="s">
        <v>71</v>
      </c>
      <c r="I4" s="12" t="s">
        <v>72</v>
      </c>
    </row>
    <row r="5" ht="16" spans="2:9">
      <c r="B5" s="13"/>
      <c r="C5" s="14"/>
      <c r="D5" s="15"/>
      <c r="E5" s="16" t="s">
        <v>73</v>
      </c>
      <c r="G5" s="11"/>
      <c r="H5" s="6" t="s">
        <v>74</v>
      </c>
      <c r="I5" s="6"/>
    </row>
    <row r="6" ht="31" spans="2:9">
      <c r="B6" s="13"/>
      <c r="C6" s="17"/>
      <c r="D6" s="18" t="s">
        <v>68</v>
      </c>
      <c r="E6" s="19" t="s">
        <v>75</v>
      </c>
      <c r="G6" s="11" t="s">
        <v>76</v>
      </c>
      <c r="H6" s="6" t="s">
        <v>77</v>
      </c>
      <c r="I6" s="12" t="s">
        <v>78</v>
      </c>
    </row>
    <row r="7" ht="31" spans="2:9">
      <c r="B7" s="13"/>
      <c r="C7" s="9" t="s">
        <v>79</v>
      </c>
      <c r="D7" s="18" t="s">
        <v>80</v>
      </c>
      <c r="E7" s="20" t="s">
        <v>81</v>
      </c>
      <c r="G7" s="11"/>
      <c r="H7" s="6" t="s">
        <v>82</v>
      </c>
      <c r="I7" s="6"/>
    </row>
    <row r="8" ht="16" spans="2:9">
      <c r="B8" s="13"/>
      <c r="C8" s="14"/>
      <c r="D8" s="8" t="s">
        <v>80</v>
      </c>
      <c r="E8" s="21" t="s">
        <v>83</v>
      </c>
      <c r="G8" s="11"/>
      <c r="H8" s="6" t="s">
        <v>84</v>
      </c>
      <c r="I8" s="6"/>
    </row>
    <row r="9" ht="16.8" spans="2:9">
      <c r="B9" s="13"/>
      <c r="C9" s="17"/>
      <c r="D9" s="15"/>
      <c r="E9" s="22" t="s">
        <v>85</v>
      </c>
      <c r="G9" s="11" t="s">
        <v>86</v>
      </c>
      <c r="H9" s="6" t="s">
        <v>87</v>
      </c>
      <c r="I9" s="12" t="s">
        <v>88</v>
      </c>
    </row>
    <row r="10" ht="33" customHeight="1" spans="2:9">
      <c r="B10" s="13"/>
      <c r="C10" s="9" t="s">
        <v>89</v>
      </c>
      <c r="D10" s="8" t="s">
        <v>90</v>
      </c>
      <c r="E10" s="23" t="s">
        <v>91</v>
      </c>
      <c r="G10" s="11"/>
      <c r="H10" s="6" t="s">
        <v>92</v>
      </c>
      <c r="I10" s="6"/>
    </row>
    <row r="11" spans="2:9">
      <c r="B11" s="13"/>
      <c r="C11" s="17"/>
      <c r="D11" s="15"/>
      <c r="E11" s="23" t="s">
        <v>93</v>
      </c>
      <c r="G11" s="11"/>
      <c r="H11" s="6" t="s">
        <v>94</v>
      </c>
      <c r="I11" s="6"/>
    </row>
    <row r="12" ht="16" spans="2:9">
      <c r="B12" s="13"/>
      <c r="C12" s="9" t="s">
        <v>95</v>
      </c>
      <c r="D12" s="8" t="s">
        <v>96</v>
      </c>
      <c r="E12" s="21" t="s">
        <v>97</v>
      </c>
      <c r="G12" s="11"/>
      <c r="H12" s="6" t="s">
        <v>98</v>
      </c>
      <c r="I12" s="6"/>
    </row>
    <row r="13" ht="16" spans="2:9">
      <c r="B13" s="13"/>
      <c r="C13" s="17"/>
      <c r="D13" s="15"/>
      <c r="E13" s="22" t="s">
        <v>99</v>
      </c>
      <c r="G13" s="11"/>
      <c r="H13" s="6" t="s">
        <v>100</v>
      </c>
      <c r="I13" s="6"/>
    </row>
    <row r="14" ht="16" spans="2:9">
      <c r="B14" s="13"/>
      <c r="C14" s="9" t="s">
        <v>101</v>
      </c>
      <c r="D14" s="8" t="s">
        <v>102</v>
      </c>
      <c r="E14" s="21" t="s">
        <v>103</v>
      </c>
      <c r="G14" s="11"/>
      <c r="H14" s="6" t="s">
        <v>104</v>
      </c>
      <c r="I14" s="6"/>
    </row>
    <row r="15" ht="16" spans="2:9">
      <c r="B15" s="13"/>
      <c r="C15" s="14"/>
      <c r="D15" s="13"/>
      <c r="E15" s="22" t="s">
        <v>105</v>
      </c>
    </row>
    <row r="16" ht="16" spans="2:9">
      <c r="B16" s="13"/>
      <c r="C16" s="14"/>
      <c r="D16" s="13"/>
      <c r="E16" s="21" t="s">
        <v>106</v>
      </c>
    </row>
    <row r="17" ht="16" spans="2:5">
      <c r="B17" s="15"/>
      <c r="C17" s="17"/>
      <c r="D17" s="15"/>
      <c r="E17" s="22" t="s">
        <v>105</v>
      </c>
    </row>
    <row r="20" spans="2:5">
      <c r="C20" s="24" t="s">
        <v>3</v>
      </c>
      <c r="D20" s="24" t="s">
        <v>107</v>
      </c>
      <c r="E20" s="24" t="s">
        <v>108</v>
      </c>
    </row>
    <row r="21" spans="2:5">
      <c r="C21" s="25" t="s">
        <v>109</v>
      </c>
      <c r="D21" s="26" t="s">
        <v>110</v>
      </c>
      <c r="E21" s="26" t="s">
        <v>111</v>
      </c>
    </row>
    <row r="22" spans="2:5">
      <c r="C22" s="27"/>
      <c r="D22" s="26" t="s">
        <v>112</v>
      </c>
      <c r="E22" s="26" t="s">
        <v>113</v>
      </c>
    </row>
    <row r="23" spans="2:5">
      <c r="C23" s="27"/>
      <c r="D23" s="26" t="s">
        <v>114</v>
      </c>
      <c r="E23" s="26" t="s">
        <v>115</v>
      </c>
    </row>
    <row r="24" spans="2:5">
      <c r="C24" s="27"/>
      <c r="D24" s="26" t="s">
        <v>116</v>
      </c>
      <c r="E24" s="26" t="s">
        <v>117</v>
      </c>
    </row>
    <row r="25" spans="2:5">
      <c r="C25" s="27"/>
      <c r="D25" s="26" t="s">
        <v>118</v>
      </c>
      <c r="E25" s="26" t="s">
        <v>119</v>
      </c>
    </row>
    <row r="26" spans="2:5">
      <c r="C26" s="28"/>
      <c r="D26" s="26" t="s">
        <v>120</v>
      </c>
      <c r="E26" s="26" t="s">
        <v>121</v>
      </c>
    </row>
    <row r="27" spans="2:5">
      <c r="C27" s="25" t="s">
        <v>122</v>
      </c>
      <c r="D27" s="26" t="s">
        <v>110</v>
      </c>
      <c r="E27" s="26" t="s">
        <v>111</v>
      </c>
    </row>
    <row r="28" spans="2:5">
      <c r="C28" s="27"/>
      <c r="D28" s="26" t="s">
        <v>112</v>
      </c>
      <c r="E28" s="26" t="s">
        <v>123</v>
      </c>
    </row>
    <row r="29" spans="2:5">
      <c r="C29" s="27"/>
      <c r="D29" s="26" t="s">
        <v>114</v>
      </c>
      <c r="E29" s="26" t="s">
        <v>124</v>
      </c>
    </row>
    <row r="30" spans="2:5">
      <c r="C30" s="28"/>
      <c r="D30" s="26" t="s">
        <v>116</v>
      </c>
      <c r="E30" s="26" t="s">
        <v>121</v>
      </c>
    </row>
    <row r="31" s="1" customFormat="1" spans="2:5">
      <c r="C31" s="29" t="s">
        <v>125</v>
      </c>
      <c r="D31" s="30" t="s">
        <v>112</v>
      </c>
      <c r="E31" s="30" t="s">
        <v>126</v>
      </c>
    </row>
    <row r="32" s="1" customFormat="1" spans="2:5">
      <c r="C32" s="29"/>
      <c r="D32" s="30" t="s">
        <v>114</v>
      </c>
      <c r="E32" s="30" t="s">
        <v>127</v>
      </c>
    </row>
    <row r="33" s="1" customFormat="1" spans="3:5">
      <c r="C33" s="31"/>
      <c r="D33" s="30" t="s">
        <v>116</v>
      </c>
      <c r="E33" s="30" t="s">
        <v>128</v>
      </c>
    </row>
    <row r="34" spans="3:5">
      <c r="C34" s="25" t="s">
        <v>129</v>
      </c>
      <c r="D34" s="26" t="s">
        <v>112</v>
      </c>
      <c r="E34" s="26" t="s">
        <v>126</v>
      </c>
    </row>
    <row r="35" spans="3:5">
      <c r="C35" s="27"/>
      <c r="D35" s="26" t="s">
        <v>114</v>
      </c>
      <c r="E35" s="26" t="s">
        <v>127</v>
      </c>
    </row>
    <row r="36" spans="3:5">
      <c r="C36" s="28"/>
      <c r="D36" s="26" t="s">
        <v>116</v>
      </c>
      <c r="E36" s="26" t="s">
        <v>128</v>
      </c>
    </row>
    <row r="37" spans="3:5">
      <c r="C37" s="27" t="s">
        <v>130</v>
      </c>
      <c r="D37" s="26" t="s">
        <v>110</v>
      </c>
      <c r="E37" s="26" t="s">
        <v>131</v>
      </c>
    </row>
    <row r="38" spans="3:5">
      <c r="C38" s="27"/>
      <c r="D38" s="26" t="s">
        <v>112</v>
      </c>
      <c r="E38" s="26" t="s">
        <v>119</v>
      </c>
    </row>
    <row r="39" spans="3:5">
      <c r="C39" s="27"/>
      <c r="D39" s="26" t="s">
        <v>114</v>
      </c>
      <c r="E39" s="26" t="s">
        <v>121</v>
      </c>
    </row>
    <row r="40" spans="3:5">
      <c r="C40" s="27"/>
      <c r="D40" s="26" t="s">
        <v>116</v>
      </c>
      <c r="E40" s="26" t="s">
        <v>132</v>
      </c>
    </row>
    <row r="41" spans="3:5">
      <c r="C41" s="32" t="s">
        <v>133</v>
      </c>
      <c r="D41" s="26" t="s">
        <v>110</v>
      </c>
      <c r="E41" s="26" t="s">
        <v>134</v>
      </c>
    </row>
    <row r="42" spans="3:5">
      <c r="C42" s="33"/>
      <c r="D42" s="26" t="s">
        <v>112</v>
      </c>
      <c r="E42" s="26" t="s">
        <v>117</v>
      </c>
    </row>
    <row r="43" spans="3:5">
      <c r="C43" s="33"/>
      <c r="D43" s="26" t="s">
        <v>114</v>
      </c>
      <c r="E43" s="26" t="s">
        <v>119</v>
      </c>
    </row>
    <row r="44" spans="3:5">
      <c r="C44" s="34"/>
      <c r="D44" s="26" t="s">
        <v>116</v>
      </c>
      <c r="E44" s="26" t="s">
        <v>135</v>
      </c>
    </row>
  </sheetData>
  <mergeCells count="20">
    <mergeCell ref="B4:B17"/>
    <mergeCell ref="C4:C6"/>
    <mergeCell ref="C7:C9"/>
    <mergeCell ref="C10:C11"/>
    <mergeCell ref="C12:C13"/>
    <mergeCell ref="C14:C17"/>
    <mergeCell ref="C21:C26"/>
    <mergeCell ref="C27:C30"/>
    <mergeCell ref="C31:C33"/>
    <mergeCell ref="C34:C36"/>
    <mergeCell ref="C37:C40"/>
    <mergeCell ref="C41:C44"/>
    <mergeCell ref="D4:D5"/>
    <mergeCell ref="D8:D9"/>
    <mergeCell ref="D10:D11"/>
    <mergeCell ref="D12:D13"/>
    <mergeCell ref="D14:D17"/>
    <mergeCell ref="G4:G5"/>
    <mergeCell ref="G6:G8"/>
    <mergeCell ref="G9:G14"/>
  </mergeCells>
  <hyperlinks>
    <hyperlink ref="I6" r:id="rId1" display="https://www.xingtu.cn/help-center/demander/109121" tooltip="https://www.xingtu.cn/help-center/demander/109121"/>
    <hyperlink ref="I4" r:id="rId2" display="https://www.xingtu.cn/help-center/demander/126583" tooltip="https://www.xingtu.cn/help-center/demander/126583"/>
    <hyperlink ref="I9" r:id="rId3" display="https://www.xingtu.cn/help-center/demander/109131" tooltip="https://www.xingtu.cn/help-center/demander/109131"/>
  </hyperlinks>
  <pageMargins left="0.7" right="0.7" top="0.75" bottom="0.75" header="0.3" footer="0.3"/>
  <headerFooter>
    <oddFooter>&amp;C
&amp;1#&amp;"Calibri"&amp;10&amp;K000000 Mondelez International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01报价单</vt:lpstr>
      <vt:lpstr>02达人KPI明细</vt:lpstr>
      <vt:lpstr>03达人量级分级规则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2015-06-13T10:19:00Z</dcterms:created>
  <dc:creator>44405</dc:creator>
  <cp:lastModifiedBy>邓志国</cp:lastModifiedBy>
  <dcterms:modified xsi:type="dcterms:W3CDTF">2026-02-04T18:53:03Z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EFB046D38CEEA5718ABBF968F65417BC_43</vt:lpwstr>
  </property>
  <property fmtid="{D5CDD505-2E9C-101B-9397-08002B2CF9AE}" pid="4" name="CalculationRule">
    <vt:i4>0</vt:i4>
  </property>
</Properties>
</file>